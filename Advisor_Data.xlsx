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<sst xmlns="http://schemas.openxmlformats.org/spreadsheetml/2006/main" count="129" uniqueCount="65">
  <si>
    <t>EMP Id</t>
  </si>
  <si>
    <t>Advisor Name</t>
  </si>
  <si>
    <t>Email Id</t>
  </si>
  <si>
    <t>Center / Location</t>
  </si>
  <si>
    <t>Attendance (%)</t>
  </si>
  <si>
    <t>Total LOP's Days</t>
  </si>
  <si>
    <t>Performance (%)</t>
  </si>
  <si>
    <t>Productivity (%)</t>
  </si>
  <si>
    <t>Compliance (%) QA</t>
  </si>
  <si>
    <t>Attendance Score (1-5)</t>
  </si>
  <si>
    <t>LOP Score (1-5)</t>
  </si>
  <si>
    <t>Performance Score (1-5)</t>
  </si>
  <si>
    <t>Productiviy Score (1-5)</t>
  </si>
  <si>
    <t>Compliance Score (1-5)</t>
  </si>
  <si>
    <t>Star Rating (1-5)</t>
  </si>
  <si>
    <t>Status</t>
  </si>
  <si>
    <t>CM</t>
  </si>
  <si>
    <t>AM</t>
  </si>
  <si>
    <t>TL</t>
  </si>
  <si>
    <t>Process</t>
  </si>
  <si>
    <t>Process Rank</t>
  </si>
  <si>
    <t>DPDZ/849</t>
  </si>
  <si>
    <t>Poola Venkatesh</t>
  </si>
  <si>
    <t>poola.venkatesh@hellodpd.com</t>
  </si>
  <si>
    <t>Bengaluru</t>
  </si>
  <si>
    <t>Active</t>
  </si>
  <si>
    <t>Parashurama Shetty</t>
  </si>
  <si>
    <t>Sonu Singh</t>
  </si>
  <si>
    <t>Abhiram Reddy</t>
  </si>
  <si>
    <t>Kreditbee NPA</t>
  </si>
  <si>
    <t>DPDZ/371</t>
  </si>
  <si>
    <t>Dhananjaya V</t>
  </si>
  <si>
    <t>dhananjaya@hellodpd.com</t>
  </si>
  <si>
    <t>DPDZ/1200</t>
  </si>
  <si>
    <t>Sibarama Nayak</t>
  </si>
  <si>
    <t>sibarama.nayak@hellodpd.com</t>
  </si>
  <si>
    <t>DPDZ/846</t>
  </si>
  <si>
    <t>Ravi M</t>
  </si>
  <si>
    <t>ravi.m@hellodpd.com</t>
  </si>
  <si>
    <t>DPDZ/794</t>
  </si>
  <si>
    <t>Lakshmi H</t>
  </si>
  <si>
    <t>lakshmi.h@hellodpd.com</t>
  </si>
  <si>
    <t>Kuldeep</t>
  </si>
  <si>
    <t>Axio NPA</t>
  </si>
  <si>
    <t>DPDZ/824</t>
  </si>
  <si>
    <t>Jayalakshmi D</t>
  </si>
  <si>
    <t>jayalakshmi.d@hellodpd.com</t>
  </si>
  <si>
    <t>DPDZ/1045</t>
  </si>
  <si>
    <t>Pradip DilipRao Nehare</t>
  </si>
  <si>
    <t>pradip.diliprao@hellodpd.com</t>
  </si>
  <si>
    <t>DPDZ/1010</t>
  </si>
  <si>
    <t>Rukhiya Fathima</t>
  </si>
  <si>
    <t>rukhiya.fathima@hellodpd.com</t>
  </si>
  <si>
    <t>DPDZ/937</t>
  </si>
  <si>
    <t>Syed Farhan Raiz Ahmed</t>
  </si>
  <si>
    <t>syed.farhan@hellodpd.com</t>
  </si>
  <si>
    <t>DPDZ/213</t>
  </si>
  <si>
    <t>Vandana Dubey</t>
  </si>
  <si>
    <t>vandana@hellodpd.com</t>
  </si>
  <si>
    <t>DPDZ/450</t>
  </si>
  <si>
    <t>Sandhya S</t>
  </si>
  <si>
    <t>sandhyas@hellodpd.com</t>
  </si>
  <si>
    <t>DPDZ/254</t>
  </si>
  <si>
    <t>Bindu V</t>
  </si>
  <si>
    <t>bindu.v@hellodpd.com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</si>
</sst>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rgb="FFFFFFFF"/>
      <name val="Oswald"/>
    </font>
    <font>
      <b/>
      <sz val="11.0"/>
      <color rgb="FFFFFFFF"/>
      <name val="Calibri"/>
    </font>
    <font>
      <b/>
      <color theme="1"/>
      <name val="Oswald"/>
    </font>
    <font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1" xfId="0" applyAlignment="1" applyFont="1" applyNumberFormat="1">
      <alignment horizontal="center" readingOrder="0"/>
    </xf>
    <xf borderId="0" fillId="4" fontId="3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1" xfId="0" applyAlignment="1" applyFont="1" applyNumberFormat="1">
      <alignment horizontal="center" readingOrder="0"/>
    </xf>
    <xf borderId="0" fillId="5" fontId="5" numFmtId="0" xfId="0" applyAlignment="1" applyFill="1" applyFont="1">
      <alignment horizontal="center"/>
    </xf>
    <xf borderId="0" fillId="6" fontId="6" numFmtId="164" xfId="0" applyAlignment="1" applyFill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22.38"/>
    <col customWidth="1" min="4" max="4" width="12.88"/>
    <col customWidth="1" min="5" max="6" width="11.88"/>
    <col customWidth="1" min="7" max="8" width="12.5"/>
    <col customWidth="1" min="9" max="9" width="14.38"/>
    <col customWidth="1" min="10" max="10" width="18.25"/>
    <col customWidth="1" min="11" max="11" width="12.5"/>
    <col customWidth="1" min="12" max="13" width="18.13"/>
    <col customWidth="1" min="14" max="14" width="18.5"/>
    <col customWidth="1" min="15" max="15" width="13.25"/>
    <col customWidth="1" min="16" max="16" width="5.75"/>
    <col customWidth="1" min="17" max="17" width="14.25"/>
    <col customWidth="1" min="18" max="18" width="12.13"/>
    <col customWidth="1" min="19" max="19" width="12.38"/>
    <col customWidth="1" min="20" max="20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>
      <c r="A2" s="6" t="s">
        <v>21</v>
      </c>
      <c r="B2" s="6" t="s">
        <v>22</v>
      </c>
      <c r="C2" s="6" t="s">
        <v>23</v>
      </c>
      <c r="D2" s="6" t="s">
        <v>24</v>
      </c>
      <c r="E2" s="7">
        <v>78.0</v>
      </c>
      <c r="F2" s="7">
        <v>0.0</v>
      </c>
      <c r="G2" s="7">
        <v>99.0</v>
      </c>
      <c r="H2" s="7">
        <v>100.0</v>
      </c>
      <c r="I2" s="7">
        <v>78.0</v>
      </c>
      <c r="J2" s="8">
        <f t="shared" ref="J2:J13" si="2">IF(E2&gt;=90,5,IF(E2&gt;=85,4,IF(E2&gt;=80,3,IF(E2&gt;=75,2,1))))</f>
        <v>2</v>
      </c>
      <c r="K2" s="8">
        <f t="shared" ref="K2:K13" si="3">IF(F2=0,5,IF(F2=1,4,IF(F2=2,3,IF(F2=3,2,1))))</f>
        <v>5</v>
      </c>
      <c r="L2" s="8">
        <f t="shared" ref="L2:N2" si="1">IF(G2&gt;=90,5,IF(G2&gt;=85,4,IF(G2&gt;=80,3,IF(G2&gt;=75,2,1))))</f>
        <v>5</v>
      </c>
      <c r="M2" s="8">
        <f t="shared" si="1"/>
        <v>5</v>
      </c>
      <c r="N2" s="8">
        <f t="shared" si="1"/>
        <v>2</v>
      </c>
      <c r="O2" s="9">
        <f t="shared" ref="O2:O13" si="5">(N2*0.1)+(J2*0.1)+(M2*0.2)+(K2*0.2)+(L2*0.4)</f>
        <v>4.4</v>
      </c>
      <c r="P2" s="6" t="s">
        <v>25</v>
      </c>
      <c r="Q2" s="6" t="s">
        <v>26</v>
      </c>
      <c r="R2" s="6" t="s">
        <v>27</v>
      </c>
      <c r="S2" s="6" t="s">
        <v>28</v>
      </c>
      <c r="T2" s="10" t="s">
        <v>29</v>
      </c>
      <c r="U2" s="10">
        <f>IFERROR(__xludf.DUMMYFUNCTION("RANK.EQ(O2,FILTER(O:O,T:T=T2),0)"),1.0)</f>
        <v>1</v>
      </c>
    </row>
    <row r="3">
      <c r="A3" s="6" t="s">
        <v>30</v>
      </c>
      <c r="B3" s="6" t="s">
        <v>31</v>
      </c>
      <c r="C3" s="6" t="s">
        <v>32</v>
      </c>
      <c r="D3" s="6" t="s">
        <v>24</v>
      </c>
      <c r="E3" s="7">
        <v>74.0</v>
      </c>
      <c r="F3" s="7">
        <v>0.0</v>
      </c>
      <c r="G3" s="7">
        <v>90.0</v>
      </c>
      <c r="H3" s="7">
        <v>100.0</v>
      </c>
      <c r="I3" s="7">
        <v>74.0</v>
      </c>
      <c r="J3" s="8">
        <f t="shared" si="2"/>
        <v>1</v>
      </c>
      <c r="K3" s="8">
        <f t="shared" si="3"/>
        <v>5</v>
      </c>
      <c r="L3" s="8">
        <f t="shared" ref="L3:N3" si="4">IF(G3&gt;=90,5,IF(G3&gt;=85,4,IF(G3&gt;=80,3,IF(G3&gt;=75,2,1))))</f>
        <v>5</v>
      </c>
      <c r="M3" s="8">
        <f t="shared" si="4"/>
        <v>5</v>
      </c>
      <c r="N3" s="8">
        <f t="shared" si="4"/>
        <v>1</v>
      </c>
      <c r="O3" s="9">
        <f t="shared" si="5"/>
        <v>4.2</v>
      </c>
      <c r="P3" s="6" t="s">
        <v>25</v>
      </c>
      <c r="Q3" s="6" t="s">
        <v>26</v>
      </c>
      <c r="R3" s="6" t="s">
        <v>27</v>
      </c>
      <c r="S3" s="6" t="s">
        <v>28</v>
      </c>
      <c r="T3" s="10" t="s">
        <v>29</v>
      </c>
      <c r="U3" s="10">
        <f>IFERROR(__xludf.DUMMYFUNCTION("RANK.EQ(O3,FILTER(O:O,T:T=T3),0)"),2.0)</f>
        <v>2</v>
      </c>
    </row>
    <row r="4">
      <c r="A4" s="6" t="s">
        <v>33</v>
      </c>
      <c r="B4" s="6" t="s">
        <v>34</v>
      </c>
      <c r="C4" s="6" t="s">
        <v>35</v>
      </c>
      <c r="D4" s="6" t="s">
        <v>24</v>
      </c>
      <c r="E4" s="7">
        <v>90.0</v>
      </c>
      <c r="F4" s="7">
        <v>0.0</v>
      </c>
      <c r="G4" s="7">
        <v>65.0</v>
      </c>
      <c r="H4" s="7">
        <v>99.0</v>
      </c>
      <c r="I4" s="7">
        <v>90.0</v>
      </c>
      <c r="J4" s="8">
        <f t="shared" si="2"/>
        <v>5</v>
      </c>
      <c r="K4" s="8">
        <f t="shared" si="3"/>
        <v>5</v>
      </c>
      <c r="L4" s="8">
        <f t="shared" ref="L4:N4" si="6">IF(G4&gt;=90,5,IF(G4&gt;=85,4,IF(G4&gt;=80,3,IF(G4&gt;=75,2,1))))</f>
        <v>1</v>
      </c>
      <c r="M4" s="8">
        <f t="shared" si="6"/>
        <v>5</v>
      </c>
      <c r="N4" s="8">
        <f t="shared" si="6"/>
        <v>5</v>
      </c>
      <c r="O4" s="9">
        <f t="shared" si="5"/>
        <v>3.4</v>
      </c>
      <c r="P4" s="6" t="s">
        <v>25</v>
      </c>
      <c r="Q4" s="6" t="s">
        <v>26</v>
      </c>
      <c r="R4" s="6" t="s">
        <v>27</v>
      </c>
      <c r="S4" s="6" t="s">
        <v>28</v>
      </c>
      <c r="T4" s="10" t="s">
        <v>29</v>
      </c>
      <c r="U4" s="10">
        <f>IFERROR(__xludf.DUMMYFUNCTION("RANK.EQ(O4,FILTER(O:O,T:T=T4),0)"),3.0)</f>
        <v>3</v>
      </c>
    </row>
    <row r="5">
      <c r="A5" s="6" t="s">
        <v>36</v>
      </c>
      <c r="B5" s="6" t="s">
        <v>37</v>
      </c>
      <c r="C5" s="6" t="s">
        <v>38</v>
      </c>
      <c r="D5" s="6" t="s">
        <v>24</v>
      </c>
      <c r="E5" s="7">
        <v>86.0</v>
      </c>
      <c r="F5" s="7">
        <v>0.0</v>
      </c>
      <c r="G5" s="7">
        <v>47.0</v>
      </c>
      <c r="H5" s="7">
        <v>84.0</v>
      </c>
      <c r="I5" s="7">
        <v>86.0</v>
      </c>
      <c r="J5" s="8">
        <f t="shared" si="2"/>
        <v>4</v>
      </c>
      <c r="K5" s="8">
        <f t="shared" si="3"/>
        <v>5</v>
      </c>
      <c r="L5" s="8">
        <f t="shared" ref="L5:N5" si="7">IF(G5&gt;=90,5,IF(G5&gt;=85,4,IF(G5&gt;=80,3,IF(G5&gt;=75,2,1))))</f>
        <v>1</v>
      </c>
      <c r="M5" s="8">
        <f t="shared" si="7"/>
        <v>3</v>
      </c>
      <c r="N5" s="8">
        <f t="shared" si="7"/>
        <v>4</v>
      </c>
      <c r="O5" s="9">
        <f t="shared" si="5"/>
        <v>2.8</v>
      </c>
      <c r="P5" s="6" t="s">
        <v>25</v>
      </c>
      <c r="Q5" s="6" t="s">
        <v>26</v>
      </c>
      <c r="R5" s="6" t="s">
        <v>27</v>
      </c>
      <c r="S5" s="6" t="s">
        <v>28</v>
      </c>
      <c r="T5" s="10" t="s">
        <v>29</v>
      </c>
      <c r="U5" s="10">
        <f>IFERROR(__xludf.DUMMYFUNCTION("RANK.EQ(O5,FILTER(O:O,T:T=T5),0)"),4.0)</f>
        <v>4</v>
      </c>
    </row>
    <row r="6">
      <c r="A6" s="6" t="s">
        <v>39</v>
      </c>
      <c r="B6" s="6" t="s">
        <v>40</v>
      </c>
      <c r="C6" s="6" t="s">
        <v>41</v>
      </c>
      <c r="D6" s="6" t="s">
        <v>24</v>
      </c>
      <c r="E6" s="7">
        <v>86.0</v>
      </c>
      <c r="F6" s="7">
        <v>0.0</v>
      </c>
      <c r="G6" s="7">
        <v>97.0</v>
      </c>
      <c r="H6" s="7">
        <v>100.0</v>
      </c>
      <c r="I6" s="7">
        <v>86.0</v>
      </c>
      <c r="J6" s="8">
        <f t="shared" si="2"/>
        <v>4</v>
      </c>
      <c r="K6" s="8">
        <f t="shared" si="3"/>
        <v>5</v>
      </c>
      <c r="L6" s="8">
        <f t="shared" ref="L6:N6" si="8">IF(G6&gt;=90,5,IF(G6&gt;=85,4,IF(G6&gt;=80,3,IF(G6&gt;=75,2,1))))</f>
        <v>5</v>
      </c>
      <c r="M6" s="8">
        <f t="shared" si="8"/>
        <v>5</v>
      </c>
      <c r="N6" s="8">
        <f t="shared" si="8"/>
        <v>4</v>
      </c>
      <c r="O6" s="9">
        <f t="shared" si="5"/>
        <v>4.8</v>
      </c>
      <c r="P6" s="6" t="s">
        <v>25</v>
      </c>
      <c r="Q6" s="6" t="s">
        <v>26</v>
      </c>
      <c r="R6" s="6" t="s">
        <v>27</v>
      </c>
      <c r="S6" s="6" t="s">
        <v>42</v>
      </c>
      <c r="T6" s="10" t="s">
        <v>43</v>
      </c>
      <c r="U6" s="10">
        <f>IFERROR(__xludf.DUMMYFUNCTION("RANK.EQ(O6,FILTER(O:O,T:T=T6),0)"),1.0)</f>
        <v>1</v>
      </c>
    </row>
    <row r="7">
      <c r="A7" s="6" t="s">
        <v>44</v>
      </c>
      <c r="B7" s="6" t="s">
        <v>45</v>
      </c>
      <c r="C7" s="6" t="s">
        <v>46</v>
      </c>
      <c r="D7" s="6" t="s">
        <v>24</v>
      </c>
      <c r="E7" s="7">
        <v>72.0</v>
      </c>
      <c r="F7" s="7">
        <v>0.0</v>
      </c>
      <c r="G7" s="7">
        <v>97.0</v>
      </c>
      <c r="H7" s="7">
        <v>97.0</v>
      </c>
      <c r="I7" s="7">
        <v>72.0</v>
      </c>
      <c r="J7" s="8">
        <f t="shared" si="2"/>
        <v>1</v>
      </c>
      <c r="K7" s="8">
        <f t="shared" si="3"/>
        <v>5</v>
      </c>
      <c r="L7" s="8">
        <f t="shared" ref="L7:N7" si="9">IF(G7&gt;=90,5,IF(G7&gt;=85,4,IF(G7&gt;=80,3,IF(G7&gt;=75,2,1))))</f>
        <v>5</v>
      </c>
      <c r="M7" s="8">
        <f t="shared" si="9"/>
        <v>5</v>
      </c>
      <c r="N7" s="8">
        <f t="shared" si="9"/>
        <v>1</v>
      </c>
      <c r="O7" s="9">
        <f t="shared" si="5"/>
        <v>4.2</v>
      </c>
      <c r="P7" s="6" t="s">
        <v>25</v>
      </c>
      <c r="Q7" s="6" t="s">
        <v>26</v>
      </c>
      <c r="R7" s="6" t="s">
        <v>27</v>
      </c>
      <c r="S7" s="6" t="s">
        <v>42</v>
      </c>
      <c r="T7" s="10" t="s">
        <v>43</v>
      </c>
      <c r="U7" s="10">
        <f>IFERROR(__xludf.DUMMYFUNCTION("RANK.EQ(O7,FILTER(O:O,T:T=T7),0)"),2.0)</f>
        <v>2</v>
      </c>
    </row>
    <row r="8">
      <c r="A8" s="6" t="s">
        <v>47</v>
      </c>
      <c r="B8" s="6" t="s">
        <v>48</v>
      </c>
      <c r="C8" s="6" t="s">
        <v>49</v>
      </c>
      <c r="D8" s="6" t="s">
        <v>24</v>
      </c>
      <c r="E8" s="7">
        <v>82.0</v>
      </c>
      <c r="F8" s="7">
        <v>1.0</v>
      </c>
      <c r="G8" s="7">
        <v>88.0</v>
      </c>
      <c r="H8" s="7">
        <v>100.0</v>
      </c>
      <c r="I8" s="7">
        <v>82.0</v>
      </c>
      <c r="J8" s="8">
        <f t="shared" si="2"/>
        <v>3</v>
      </c>
      <c r="K8" s="8">
        <f t="shared" si="3"/>
        <v>4</v>
      </c>
      <c r="L8" s="8">
        <f t="shared" ref="L8:N8" si="10">IF(G8&gt;=90,5,IF(G8&gt;=85,4,IF(G8&gt;=80,3,IF(G8&gt;=75,2,1))))</f>
        <v>4</v>
      </c>
      <c r="M8" s="8">
        <f t="shared" si="10"/>
        <v>5</v>
      </c>
      <c r="N8" s="8">
        <f t="shared" si="10"/>
        <v>3</v>
      </c>
      <c r="O8" s="9">
        <f t="shared" si="5"/>
        <v>4</v>
      </c>
      <c r="P8" s="6" t="s">
        <v>25</v>
      </c>
      <c r="Q8" s="6" t="s">
        <v>26</v>
      </c>
      <c r="R8" s="6" t="s">
        <v>27</v>
      </c>
      <c r="S8" s="6" t="s">
        <v>42</v>
      </c>
      <c r="T8" s="10" t="s">
        <v>43</v>
      </c>
      <c r="U8" s="10">
        <f>IFERROR(__xludf.DUMMYFUNCTION("RANK.EQ(O8,FILTER(O:O,T:T=T8),0)"),3.0)</f>
        <v>3</v>
      </c>
    </row>
    <row r="9">
      <c r="A9" s="6" t="s">
        <v>50</v>
      </c>
      <c r="B9" s="6" t="s">
        <v>51</v>
      </c>
      <c r="C9" s="6" t="s">
        <v>52</v>
      </c>
      <c r="D9" s="6" t="s">
        <v>24</v>
      </c>
      <c r="E9" s="7">
        <v>93.0</v>
      </c>
      <c r="F9" s="7">
        <v>1.0</v>
      </c>
      <c r="G9" s="7">
        <v>83.0</v>
      </c>
      <c r="H9" s="7">
        <v>99.0</v>
      </c>
      <c r="I9" s="7">
        <v>93.0</v>
      </c>
      <c r="J9" s="8">
        <f t="shared" si="2"/>
        <v>5</v>
      </c>
      <c r="K9" s="8">
        <f t="shared" si="3"/>
        <v>4</v>
      </c>
      <c r="L9" s="8">
        <f t="shared" ref="L9:N9" si="11">IF(G9&gt;=90,5,IF(G9&gt;=85,4,IF(G9&gt;=80,3,IF(G9&gt;=75,2,1))))</f>
        <v>3</v>
      </c>
      <c r="M9" s="8">
        <f t="shared" si="11"/>
        <v>5</v>
      </c>
      <c r="N9" s="8">
        <f t="shared" si="11"/>
        <v>5</v>
      </c>
      <c r="O9" s="9">
        <f t="shared" si="5"/>
        <v>4</v>
      </c>
      <c r="P9" s="6" t="s">
        <v>25</v>
      </c>
      <c r="Q9" s="6" t="s">
        <v>26</v>
      </c>
      <c r="R9" s="6" t="s">
        <v>27</v>
      </c>
      <c r="S9" s="6" t="s">
        <v>42</v>
      </c>
      <c r="T9" s="10" t="s">
        <v>43</v>
      </c>
      <c r="U9" s="10">
        <f>IFERROR(__xludf.DUMMYFUNCTION("RANK.EQ(O9,FILTER(O:O,T:T=T9),0)"),3.0)</f>
        <v>3</v>
      </c>
    </row>
    <row r="10">
      <c r="A10" s="6" t="s">
        <v>53</v>
      </c>
      <c r="B10" s="6" t="s">
        <v>54</v>
      </c>
      <c r="C10" s="6" t="s">
        <v>55</v>
      </c>
      <c r="D10" s="6" t="s">
        <v>24</v>
      </c>
      <c r="E10" s="7">
        <v>73.0</v>
      </c>
      <c r="F10" s="7">
        <v>0.0</v>
      </c>
      <c r="G10" s="7">
        <v>54.0</v>
      </c>
      <c r="H10" s="7">
        <v>90.0</v>
      </c>
      <c r="I10" s="7">
        <v>73.0</v>
      </c>
      <c r="J10" s="8">
        <f t="shared" si="2"/>
        <v>1</v>
      </c>
      <c r="K10" s="8">
        <f t="shared" si="3"/>
        <v>5</v>
      </c>
      <c r="L10" s="8">
        <f t="shared" ref="L10:N10" si="12">IF(G10&gt;=90,5,IF(G10&gt;=85,4,IF(G10&gt;=80,3,IF(G10&gt;=75,2,1))))</f>
        <v>1</v>
      </c>
      <c r="M10" s="8">
        <f t="shared" si="12"/>
        <v>5</v>
      </c>
      <c r="N10" s="8">
        <f t="shared" si="12"/>
        <v>1</v>
      </c>
      <c r="O10" s="9">
        <f t="shared" si="5"/>
        <v>2.6</v>
      </c>
      <c r="P10" s="6" t="s">
        <v>25</v>
      </c>
      <c r="Q10" s="6" t="s">
        <v>26</v>
      </c>
      <c r="R10" s="6" t="s">
        <v>27</v>
      </c>
      <c r="S10" s="6" t="s">
        <v>28</v>
      </c>
      <c r="T10" s="10" t="s">
        <v>29</v>
      </c>
      <c r="U10" s="10">
        <f>IFERROR(__xludf.DUMMYFUNCTION("RANK.EQ(O10,FILTER(O:O,T:T=T10),0)"),5.0)</f>
        <v>5</v>
      </c>
    </row>
    <row r="11">
      <c r="A11" s="6" t="s">
        <v>56</v>
      </c>
      <c r="B11" s="6" t="s">
        <v>57</v>
      </c>
      <c r="C11" s="6" t="s">
        <v>58</v>
      </c>
      <c r="D11" s="6" t="s">
        <v>24</v>
      </c>
      <c r="E11" s="7">
        <v>84.0</v>
      </c>
      <c r="F11" s="7">
        <v>17.0</v>
      </c>
      <c r="G11" s="7">
        <v>46.0</v>
      </c>
      <c r="H11" s="7">
        <v>89.0</v>
      </c>
      <c r="I11" s="7">
        <v>84.0</v>
      </c>
      <c r="J11" s="8">
        <f t="shared" si="2"/>
        <v>3</v>
      </c>
      <c r="K11" s="8">
        <f t="shared" si="3"/>
        <v>1</v>
      </c>
      <c r="L11" s="8">
        <f t="shared" ref="L11:N11" si="13">IF(G11&gt;=90,5,IF(G11&gt;=85,4,IF(G11&gt;=80,3,IF(G11&gt;=75,2,1))))</f>
        <v>1</v>
      </c>
      <c r="M11" s="8">
        <f t="shared" si="13"/>
        <v>4</v>
      </c>
      <c r="N11" s="8">
        <f t="shared" si="13"/>
        <v>3</v>
      </c>
      <c r="O11" s="9">
        <f t="shared" si="5"/>
        <v>2</v>
      </c>
      <c r="P11" s="6" t="s">
        <v>25</v>
      </c>
      <c r="Q11" s="6" t="s">
        <v>26</v>
      </c>
      <c r="R11" s="6" t="s">
        <v>27</v>
      </c>
      <c r="S11" s="6" t="s">
        <v>28</v>
      </c>
      <c r="T11" s="10" t="s">
        <v>29</v>
      </c>
      <c r="U11" s="10">
        <f>IFERROR(__xludf.DUMMYFUNCTION("RANK.EQ(O11,FILTER(O:O,T:T=T11),0)"),6.0)</f>
        <v>6</v>
      </c>
    </row>
    <row r="12">
      <c r="A12" s="6" t="s">
        <v>59</v>
      </c>
      <c r="B12" s="6" t="s">
        <v>60</v>
      </c>
      <c r="C12" s="6" t="s">
        <v>61</v>
      </c>
      <c r="D12" s="6" t="s">
        <v>24</v>
      </c>
      <c r="E12" s="7">
        <v>87.0</v>
      </c>
      <c r="F12" s="7">
        <v>0.0</v>
      </c>
      <c r="G12" s="7">
        <v>72.0</v>
      </c>
      <c r="H12" s="7">
        <v>100.0</v>
      </c>
      <c r="I12" s="7">
        <v>87.0</v>
      </c>
      <c r="J12" s="8">
        <f t="shared" si="2"/>
        <v>4</v>
      </c>
      <c r="K12" s="8">
        <f t="shared" si="3"/>
        <v>5</v>
      </c>
      <c r="L12" s="8">
        <f t="shared" ref="L12:N12" si="14">IF(G12&gt;=90,5,IF(G12&gt;=85,4,IF(G12&gt;=80,3,IF(G12&gt;=75,2,1))))</f>
        <v>1</v>
      </c>
      <c r="M12" s="8">
        <f t="shared" si="14"/>
        <v>5</v>
      </c>
      <c r="N12" s="8">
        <f t="shared" si="14"/>
        <v>4</v>
      </c>
      <c r="O12" s="9">
        <f t="shared" si="5"/>
        <v>3.2</v>
      </c>
      <c r="P12" s="6" t="s">
        <v>25</v>
      </c>
      <c r="Q12" s="6" t="s">
        <v>26</v>
      </c>
      <c r="R12" s="6" t="s">
        <v>27</v>
      </c>
      <c r="S12" s="6" t="s">
        <v>42</v>
      </c>
      <c r="T12" s="10" t="s">
        <v>43</v>
      </c>
      <c r="U12" s="10">
        <f>IFERROR(__xludf.DUMMYFUNCTION("RANK.EQ(O12,FILTER(O:O,T:T=T12),0)"),5.0)</f>
        <v>5</v>
      </c>
    </row>
    <row r="13">
      <c r="A13" s="6" t="s">
        <v>62</v>
      </c>
      <c r="B13" s="6" t="s">
        <v>63</v>
      </c>
      <c r="C13" s="6" t="s">
        <v>64</v>
      </c>
      <c r="D13" s="6" t="s">
        <v>24</v>
      </c>
      <c r="E13" s="7">
        <v>71.0</v>
      </c>
      <c r="F13" s="7">
        <v>0.0</v>
      </c>
      <c r="G13" s="7">
        <v>79.0</v>
      </c>
      <c r="H13" s="7">
        <v>100.0</v>
      </c>
      <c r="I13" s="7">
        <v>71.0</v>
      </c>
      <c r="J13" s="8">
        <f t="shared" si="2"/>
        <v>1</v>
      </c>
      <c r="K13" s="8">
        <f t="shared" si="3"/>
        <v>5</v>
      </c>
      <c r="L13" s="8">
        <f t="shared" ref="L13:N13" si="15">IF(G13&gt;=90,5,IF(G13&gt;=85,4,IF(G13&gt;=80,3,IF(G13&gt;=75,2,1))))</f>
        <v>2</v>
      </c>
      <c r="M13" s="8">
        <f t="shared" si="15"/>
        <v>5</v>
      </c>
      <c r="N13" s="8">
        <f t="shared" si="15"/>
        <v>1</v>
      </c>
      <c r="O13" s="9">
        <f t="shared" si="5"/>
        <v>3</v>
      </c>
      <c r="P13" s="6" t="s">
        <v>25</v>
      </c>
      <c r="Q13" s="6" t="s">
        <v>26</v>
      </c>
      <c r="R13" s="6" t="s">
        <v>27</v>
      </c>
      <c r="S13" s="6" t="s">
        <v>42</v>
      </c>
      <c r="T13" s="10" t="s">
        <v>43</v>
      </c>
      <c r="U13" s="10">
        <f>IFERROR(__xludf.DUMMYFUNCTION("RANK.EQ(O13,FILTER(O:O,T:T=T13),0)"),6.0)</f>
        <v>6</v>
      </c>
    </row>
  </sheetData>
  <drawing r:id="rId1"/>
</worksheet>
</file>